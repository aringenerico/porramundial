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timestamp-my.sharepoint.com/personal/gorka_barroso_timestampgroup_com/Documents/Escritorio/Cosas Arin/"/>
    </mc:Choice>
  </mc:AlternateContent>
  <xr:revisionPtr revIDLastSave="6" documentId="8_{C6C25B03-31AA-4659-B605-FE1A9F9243A2}" xr6:coauthVersionLast="47" xr6:coauthVersionMax="47" xr10:uidLastSave="{AC444F6F-732C-467C-AEC8-C07C8FF0B57F}"/>
  <bookViews>
    <workbookView xWindow="28680" yWindow="-120" windowWidth="29040" windowHeight="15720" activeTab="1" xr2:uid="{00000000-000D-0000-FFFF-FFFF00000000}"/>
  </bookViews>
  <sheets>
    <sheet name="Normas y Grupos" sheetId="1" r:id="rId1"/>
    <sheet name="Participantes" sheetId="3" r:id="rId2"/>
    <sheet name="Resultados" sheetId="2" r:id="rId3"/>
    <sheet name="Clasificació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" i="4"/>
  <c r="C4" i="2" l="1"/>
  <c r="C5" i="2"/>
  <c r="C6" i="2"/>
  <c r="C7" i="2"/>
  <c r="E3" i="3" s="1"/>
  <c r="C8" i="2"/>
  <c r="C9" i="2"/>
  <c r="C10" i="2"/>
  <c r="C11" i="2"/>
  <c r="C12" i="2"/>
  <c r="C13" i="2"/>
  <c r="C14" i="2"/>
  <c r="G3" i="3" s="1"/>
  <c r="C15" i="2"/>
  <c r="I3" i="3" s="1"/>
  <c r="C16" i="2"/>
  <c r="K3" i="3" s="1"/>
  <c r="C17" i="2"/>
  <c r="C18" i="2"/>
  <c r="C19" i="2"/>
  <c r="C20" i="2"/>
  <c r="C21" i="2"/>
  <c r="C22" i="2"/>
  <c r="M3" i="3" s="1"/>
  <c r="C23" i="2"/>
  <c r="O3" i="3" s="1"/>
  <c r="C24" i="2"/>
  <c r="Q3" i="3" s="1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3" i="2"/>
  <c r="C3" i="3" l="1"/>
  <c r="C3" i="4" s="1"/>
</calcChain>
</file>

<file path=xl/sharedStrings.xml><?xml version="1.0" encoding="utf-8"?>
<sst xmlns="http://schemas.openxmlformats.org/spreadsheetml/2006/main" count="159" uniqueCount="102">
  <si>
    <t>NORMAS</t>
  </si>
  <si>
    <t>· Se deben seleccionar 7 equipos en total, como se explica en el apartado 1. (Informadlos en la Hoja "Participantes")</t>
  </si>
  <si>
    <t>· Una vez todos los participantes hayan seleccionado sus equipo cada equipo puntuará x puntos por jornada en función de las normas del apartado 2.</t>
  </si>
  <si>
    <t>· Al final del torneo, el jugador que sume mas puntos entre todos sus equipos será el Ganador de la porra.</t>
  </si>
  <si>
    <t>· El reparto de premios será una porporción del Bote acumulado: 75% el ganador 20% El segundo 5% el tercero (En caso de empate se repartirá el premio correspondiente)</t>
  </si>
  <si>
    <t>· La inscripción será de 10€ por paticipante</t>
  </si>
  <si>
    <t>1 - Selección de Equipos para la porra</t>
  </si>
  <si>
    <t>Elegir:</t>
  </si>
  <si>
    <t>1 equipo del Grupo 1 (TOP)</t>
  </si>
  <si>
    <t>3 equipos del Grupo 2 (BUENOS)</t>
  </si>
  <si>
    <t>2 equipos del Grupo 3 (NORMALES)</t>
  </si>
  <si>
    <t>1 equipo del Grupo 4 (SORPRESAS)</t>
  </si>
  <si>
    <t>2- Puntuaciones por Equipo</t>
  </si>
  <si>
    <r>
      <t xml:space="preserve">Por cada gol marcado - </t>
    </r>
    <r>
      <rPr>
        <b/>
        <sz val="11"/>
        <color theme="1"/>
        <rFont val="Calibri"/>
        <family val="2"/>
        <scheme val="minor"/>
      </rPr>
      <t>1 pto</t>
    </r>
  </si>
  <si>
    <t>Puntos por partido</t>
  </si>
  <si>
    <r>
      <t xml:space="preserve">Por partido ganado - </t>
    </r>
    <r>
      <rPr>
        <b/>
        <sz val="11"/>
        <color theme="1"/>
        <rFont val="Calibri"/>
        <family val="2"/>
        <scheme val="minor"/>
      </rPr>
      <t>3 ptos</t>
    </r>
    <r>
      <rPr>
        <sz val="11"/>
        <color theme="1"/>
        <rFont val="Calibri"/>
        <family val="2"/>
        <scheme val="minor"/>
      </rPr>
      <t xml:space="preserve"> (no cuenta prórroga)</t>
    </r>
  </si>
  <si>
    <r>
      <t xml:space="preserve">Por partido empatado - </t>
    </r>
    <r>
      <rPr>
        <b/>
        <sz val="11"/>
        <color theme="1"/>
        <rFont val="Calibri"/>
        <family val="2"/>
        <scheme val="minor"/>
      </rPr>
      <t>1 pto</t>
    </r>
    <r>
      <rPr>
        <sz val="11"/>
        <color theme="1"/>
        <rFont val="Calibri"/>
        <family val="2"/>
        <scheme val="minor"/>
      </rPr>
      <t xml:space="preserve"> (no cuenta prórroga)</t>
    </r>
  </si>
  <si>
    <r>
      <t xml:space="preserve">Por pasar de fase - </t>
    </r>
    <r>
      <rPr>
        <b/>
        <sz val="11"/>
        <color theme="1"/>
        <rFont val="Calibri"/>
        <family val="2"/>
        <scheme val="minor"/>
      </rPr>
      <t>6 ptos</t>
    </r>
  </si>
  <si>
    <t>Puntos Extra</t>
  </si>
  <si>
    <r>
      <t xml:space="preserve">Por ganar campeonato - </t>
    </r>
    <r>
      <rPr>
        <b/>
        <sz val="11"/>
        <color theme="1"/>
        <rFont val="Calibri"/>
        <family val="2"/>
        <scheme val="minor"/>
      </rPr>
      <t>10 ptos</t>
    </r>
  </si>
  <si>
    <r>
      <t xml:space="preserve">Pichichi Mundial - </t>
    </r>
    <r>
      <rPr>
        <b/>
        <sz val="11"/>
        <color theme="1"/>
        <rFont val="Calibri"/>
        <family val="2"/>
        <scheme val="minor"/>
      </rPr>
      <t>8 ptos</t>
    </r>
    <r>
      <rPr>
        <sz val="11"/>
        <color theme="1"/>
        <rFont val="Calibri"/>
        <family val="2"/>
        <scheme val="minor"/>
      </rPr>
      <t xml:space="preserve"> (que este en tu equipo)</t>
    </r>
  </si>
  <si>
    <r>
      <t xml:space="preserve">Equipo menos goleado - </t>
    </r>
    <r>
      <rPr>
        <b/>
        <sz val="11"/>
        <color theme="1"/>
        <rFont val="Calibri"/>
        <family val="2"/>
        <scheme val="minor"/>
      </rPr>
      <t>6 ptos</t>
    </r>
    <r>
      <rPr>
        <sz val="11"/>
        <color theme="1"/>
        <rFont val="Calibri"/>
        <family val="2"/>
        <scheme val="minor"/>
      </rPr>
      <t xml:space="preserve"> (solo semifinalistas)</t>
    </r>
  </si>
  <si>
    <t>GRUPOS:</t>
  </si>
  <si>
    <t>Grupo 1</t>
  </si>
  <si>
    <t>Grupo 2</t>
  </si>
  <si>
    <t>Grupo 3</t>
  </si>
  <si>
    <t>Grupo 4</t>
  </si>
  <si>
    <t>Argentina</t>
  </si>
  <si>
    <t>Países Bajos</t>
  </si>
  <si>
    <t>Canadá</t>
  </si>
  <si>
    <t>Nueva Zelanda</t>
  </si>
  <si>
    <t>Francia</t>
  </si>
  <si>
    <t>Bélgica</t>
  </si>
  <si>
    <t>Qatar</t>
  </si>
  <si>
    <t>Curazao</t>
  </si>
  <si>
    <t>Brasil</t>
  </si>
  <si>
    <t>Croacia</t>
  </si>
  <si>
    <t>Arabia Saudí</t>
  </si>
  <si>
    <t>Haití</t>
  </si>
  <si>
    <t>Inglaterra</t>
  </si>
  <si>
    <t>Uruguay</t>
  </si>
  <si>
    <t>Costa de Marfil</t>
  </si>
  <si>
    <t>Irak</t>
  </si>
  <si>
    <t>España</t>
  </si>
  <si>
    <t>Colombia</t>
  </si>
  <si>
    <t>Ghana</t>
  </si>
  <si>
    <t>R.D. Congo</t>
  </si>
  <si>
    <t>Alemania</t>
  </si>
  <si>
    <t>Marruecos</t>
  </si>
  <si>
    <t>Sudáfrica</t>
  </si>
  <si>
    <t>Portugal</t>
  </si>
  <si>
    <t>México</t>
  </si>
  <si>
    <t>Escocia</t>
  </si>
  <si>
    <t>Estados Unidos</t>
  </si>
  <si>
    <t>Chequia</t>
  </si>
  <si>
    <t>Japón</t>
  </si>
  <si>
    <t>Turquía</t>
  </si>
  <si>
    <t>Suiza</t>
  </si>
  <si>
    <t>Bosnia y Herzegovina</t>
  </si>
  <si>
    <t>Austria</t>
  </si>
  <si>
    <t>Uzbekistán</t>
  </si>
  <si>
    <t>Ecuador</t>
  </si>
  <si>
    <t>Jordania</t>
  </si>
  <si>
    <t>Corea del Sur</t>
  </si>
  <si>
    <t>Cabo Verde</t>
  </si>
  <si>
    <t>Irán</t>
  </si>
  <si>
    <t>Panamá</t>
  </si>
  <si>
    <t>Australia</t>
  </si>
  <si>
    <t>Paraguay</t>
  </si>
  <si>
    <t>Túnez</t>
  </si>
  <si>
    <t>Argelia</t>
  </si>
  <si>
    <t>Egipto</t>
  </si>
  <si>
    <t>Noruega</t>
  </si>
  <si>
    <t>Suecia</t>
  </si>
  <si>
    <t>Participante</t>
  </si>
  <si>
    <t>TOTALES</t>
  </si>
  <si>
    <t>Equipo 1</t>
  </si>
  <si>
    <t>PTS E1</t>
  </si>
  <si>
    <t>Equipo 2</t>
  </si>
  <si>
    <t>PTS E2</t>
  </si>
  <si>
    <t>Equipo 3</t>
  </si>
  <si>
    <t>PTS E3</t>
  </si>
  <si>
    <t>Equipo 4</t>
  </si>
  <si>
    <t>PTS E4</t>
  </si>
  <si>
    <t>Equipo 5</t>
  </si>
  <si>
    <t>PTS E5</t>
  </si>
  <si>
    <t>Equipo 6</t>
  </si>
  <si>
    <t>PTS E6</t>
  </si>
  <si>
    <t>Equipo 7</t>
  </si>
  <si>
    <t>PTS E7</t>
  </si>
  <si>
    <t>Gorka</t>
  </si>
  <si>
    <t>Equipo</t>
  </si>
  <si>
    <t>TOTAL</t>
  </si>
  <si>
    <t>Jornada 1 - FG3</t>
  </si>
  <si>
    <t>Jornada 2 - FG2</t>
  </si>
  <si>
    <t>Jornada 3 - FG3</t>
  </si>
  <si>
    <t>Dieciseisavos</t>
  </si>
  <si>
    <t>Octavos</t>
  </si>
  <si>
    <t>Cuartos</t>
  </si>
  <si>
    <t>Semifinal</t>
  </si>
  <si>
    <t>Final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</si>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</sst>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3" borderId="12" xfId="0" applyFill="1" applyBorder="1"/>
    <xf numFmtId="0" fontId="0" fillId="3" borderId="13" xfId="0" applyFill="1" applyBorder="1"/>
    <xf numFmtId="0" fontId="0" fillId="4" borderId="12" xfId="0" applyFill="1" applyBorder="1"/>
    <xf numFmtId="0" fontId="0" fillId="4" borderId="13" xfId="0" applyFill="1" applyBorder="1"/>
    <xf numFmtId="0" fontId="0" fillId="5" borderId="12" xfId="0" applyFill="1" applyBorder="1"/>
    <xf numFmtId="0" fontId="0" fillId="5" borderId="13" xfId="0" applyFill="1" applyBorder="1"/>
    <xf numFmtId="0" fontId="0" fillId="2" borderId="15" xfId="0" applyFill="1" applyBorder="1"/>
    <xf numFmtId="0" fontId="1" fillId="2" borderId="4" xfId="0" applyFont="1" applyFill="1" applyBorder="1"/>
    <xf numFmtId="0" fontId="0" fillId="3" borderId="15" xfId="0" applyFill="1" applyBorder="1"/>
    <xf numFmtId="0" fontId="0" fillId="4" borderId="15" xfId="0" applyFill="1" applyBorder="1"/>
    <xf numFmtId="0" fontId="0" fillId="5" borderId="15" xfId="0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5" xfId="0" applyBorder="1"/>
    <xf numFmtId="0" fontId="1" fillId="0" borderId="4" xfId="0" applyFont="1" applyBorder="1"/>
    <xf numFmtId="0" fontId="1" fillId="3" borderId="28" xfId="0" applyFont="1" applyFill="1" applyBorder="1"/>
    <xf numFmtId="0" fontId="1" fillId="2" borderId="15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3" borderId="15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4" borderId="15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5" borderId="15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3" borderId="29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0" xfId="0" applyFont="1"/>
    <xf numFmtId="0" fontId="5" fillId="0" borderId="31" xfId="0" applyFont="1" applyBorder="1"/>
    <xf numFmtId="0" fontId="5" fillId="0" borderId="14" xfId="0" applyFont="1" applyBorder="1"/>
    <xf numFmtId="0" fontId="5" fillId="0" borderId="32" xfId="0" applyFont="1" applyBorder="1"/>
    <xf numFmtId="0" fontId="5" fillId="0" borderId="30" xfId="0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10" xfId="0" applyFont="1" applyBorder="1"/>
    <xf numFmtId="0" fontId="5" fillId="0" borderId="35" xfId="0" applyFont="1" applyBorder="1"/>
    <xf numFmtId="0" fontId="1" fillId="7" borderId="12" xfId="0" applyFont="1" applyFill="1" applyBorder="1"/>
    <xf numFmtId="0" fontId="1" fillId="7" borderId="13" xfId="0" applyFont="1" applyFill="1" applyBorder="1"/>
    <xf numFmtId="0" fontId="1" fillId="7" borderId="15" xfId="0" applyFont="1" applyFill="1" applyBorder="1"/>
    <xf numFmtId="0" fontId="1" fillId="7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1" fillId="8" borderId="36" xfId="0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0" borderId="24" xfId="0" applyBorder="1"/>
    <xf numFmtId="0" fontId="1" fillId="3" borderId="26" xfId="0" applyFont="1" applyFill="1" applyBorder="1"/>
    <xf numFmtId="0" fontId="1" fillId="4" borderId="27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0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/>
    </xf>
    <xf numFmtId="0" fontId="1" fillId="5" borderId="22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0" fillId="6" borderId="18" xfId="0" applyFill="1" applyBorder="1" applyAlignment="1">
      <alignment horizontal="left"/>
    </xf>
    <xf numFmtId="0" fontId="0" fillId="6" borderId="19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20" xfId="0" applyFill="1" applyBorder="1" applyAlignment="1">
      <alignment horizontal="left"/>
    </xf>
    <xf numFmtId="0" fontId="0" fillId="6" borderId="21" xfId="0" applyFill="1" applyBorder="1" applyAlignment="1">
      <alignment horizontal="left"/>
    </xf>
    <xf numFmtId="0" fontId="0" fillId="6" borderId="22" xfId="0" applyFill="1" applyBorder="1" applyAlignment="1">
      <alignment horizontal="left"/>
    </xf>
    <xf numFmtId="0" fontId="0" fillId="6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0" fillId="2" borderId="2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D66BC2-90FE-472F-8561-5AB746ED93C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617f8ed-2487-470b-b2f8-1938e51c5a2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0"/>
  <sheetViews>
    <sheetView showGridLines="0" topLeftCell="A5" workbookViewId="0">
      <selection activeCell="H31" sqref="H31"/>
    </sheetView>
  </sheetViews>
  <sheetFormatPr defaultColWidth="8.7109375" defaultRowHeight="14.45"/>
  <cols>
    <col min="1" max="1" width="4.5703125" customWidth="1"/>
    <col min="2" max="2" width="13.28515625" customWidth="1"/>
    <col min="3" max="3" width="3.5703125" customWidth="1"/>
    <col min="4" max="4" width="13.5703125" bestFit="1" customWidth="1"/>
    <col min="5" max="5" width="3.5703125" customWidth="1"/>
    <col min="6" max="6" width="18.85546875" bestFit="1" customWidth="1"/>
    <col min="7" max="7" width="4.140625" customWidth="1"/>
    <col min="8" max="8" width="13.42578125" bestFit="1" customWidth="1"/>
    <col min="17" max="17" width="20.28515625" customWidth="1"/>
  </cols>
  <sheetData>
    <row r="2" spans="2:17" ht="18.600000000000001">
      <c r="B2" s="28" t="s">
        <v>0</v>
      </c>
    </row>
    <row r="3" spans="2:17" ht="18.95" thickBot="1">
      <c r="B3" s="28"/>
    </row>
    <row r="4" spans="2:17" s="55" customFormat="1" ht="15.6">
      <c r="B4" s="56" t="s">
        <v>1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8"/>
    </row>
    <row r="5" spans="2:17" s="55" customFormat="1" ht="15.6">
      <c r="B5" s="59" t="s">
        <v>2</v>
      </c>
      <c r="Q5" s="60"/>
    </row>
    <row r="6" spans="2:17" s="55" customFormat="1" ht="15.6">
      <c r="B6" s="59" t="s">
        <v>3</v>
      </c>
      <c r="Q6" s="60"/>
    </row>
    <row r="7" spans="2:17" s="55" customFormat="1" ht="15.6">
      <c r="B7" s="59" t="s">
        <v>4</v>
      </c>
      <c r="Q7" s="60"/>
    </row>
    <row r="8" spans="2:17" s="55" customFormat="1" ht="15.95" thickBot="1">
      <c r="B8" s="61" t="s">
        <v>5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3"/>
    </row>
    <row r="9" spans="2:17" s="55" customFormat="1" ht="15.6"/>
    <row r="10" spans="2:17" ht="15.6">
      <c r="B10" s="27" t="s">
        <v>6</v>
      </c>
    </row>
    <row r="11" spans="2:17" ht="15" thickBot="1">
      <c r="B11" t="s">
        <v>7</v>
      </c>
    </row>
    <row r="12" spans="2:17">
      <c r="B12" s="101" t="s">
        <v>8</v>
      </c>
      <c r="C12" s="102"/>
      <c r="D12" s="103"/>
    </row>
    <row r="13" spans="2:17">
      <c r="B13" s="104" t="s">
        <v>9</v>
      </c>
      <c r="C13" s="105"/>
      <c r="D13" s="106"/>
    </row>
    <row r="14" spans="2:17">
      <c r="B14" s="107" t="s">
        <v>10</v>
      </c>
      <c r="C14" s="108"/>
      <c r="D14" s="109"/>
    </row>
    <row r="15" spans="2:17" ht="15" thickBot="1">
      <c r="B15" s="110" t="s">
        <v>11</v>
      </c>
      <c r="C15" s="111"/>
      <c r="D15" s="112"/>
    </row>
    <row r="17" spans="2:8" ht="15.6">
      <c r="B17" s="27" t="s">
        <v>12</v>
      </c>
    </row>
    <row r="18" spans="2:8" ht="15.95" thickBot="1">
      <c r="B18" s="27"/>
    </row>
    <row r="19" spans="2:8">
      <c r="B19" s="113" t="s">
        <v>13</v>
      </c>
      <c r="C19" s="114"/>
      <c r="D19" s="114"/>
      <c r="E19" s="114"/>
      <c r="F19" s="115"/>
      <c r="G19" s="89" t="s">
        <v>14</v>
      </c>
      <c r="H19" s="90"/>
    </row>
    <row r="20" spans="2:8">
      <c r="B20" s="116" t="s">
        <v>15</v>
      </c>
      <c r="C20" s="117"/>
      <c r="D20" s="117"/>
      <c r="E20" s="117"/>
      <c r="F20" s="118"/>
      <c r="G20" s="91"/>
      <c r="H20" s="92"/>
    </row>
    <row r="21" spans="2:8" ht="15" thickBot="1">
      <c r="B21" s="119" t="s">
        <v>16</v>
      </c>
      <c r="C21" s="120"/>
      <c r="D21" s="120"/>
      <c r="E21" s="120"/>
      <c r="F21" s="121"/>
      <c r="G21" s="93"/>
      <c r="H21" s="94"/>
    </row>
    <row r="22" spans="2:8">
      <c r="B22" s="122" t="s">
        <v>17</v>
      </c>
      <c r="C22" s="123"/>
      <c r="D22" s="123"/>
      <c r="E22" s="123"/>
      <c r="F22" s="124"/>
      <c r="G22" s="95" t="s">
        <v>18</v>
      </c>
      <c r="H22" s="96"/>
    </row>
    <row r="23" spans="2:8">
      <c r="B23" s="125" t="s">
        <v>19</v>
      </c>
      <c r="C23" s="126"/>
      <c r="D23" s="126"/>
      <c r="E23" s="126"/>
      <c r="F23" s="127"/>
      <c r="G23" s="97"/>
      <c r="H23" s="98"/>
    </row>
    <row r="24" spans="2:8">
      <c r="B24" s="125" t="s">
        <v>20</v>
      </c>
      <c r="C24" s="126"/>
      <c r="D24" s="126"/>
      <c r="E24" s="126"/>
      <c r="F24" s="127"/>
      <c r="G24" s="97"/>
      <c r="H24" s="98"/>
    </row>
    <row r="25" spans="2:8" ht="15" thickBot="1">
      <c r="B25" s="128" t="s">
        <v>21</v>
      </c>
      <c r="C25" s="129"/>
      <c r="D25" s="129"/>
      <c r="E25" s="129"/>
      <c r="F25" s="130"/>
      <c r="G25" s="99"/>
      <c r="H25" s="100"/>
    </row>
    <row r="27" spans="2:8" ht="18.600000000000001">
      <c r="B27" s="28" t="s">
        <v>22</v>
      </c>
    </row>
    <row r="28" spans="2:8" ht="15" thickBot="1"/>
    <row r="29" spans="2:8" ht="15" thickBot="1">
      <c r="B29" s="19" t="s">
        <v>23</v>
      </c>
      <c r="C29" s="11"/>
      <c r="D29" s="23" t="s">
        <v>24</v>
      </c>
      <c r="E29" s="11"/>
      <c r="F29" s="24" t="s">
        <v>25</v>
      </c>
      <c r="G29" s="11"/>
      <c r="H29" s="25" t="s">
        <v>26</v>
      </c>
    </row>
    <row r="30" spans="2:8">
      <c r="B30" s="18" t="s">
        <v>27</v>
      </c>
      <c r="D30" s="20" t="s">
        <v>28</v>
      </c>
      <c r="F30" s="21" t="s">
        <v>29</v>
      </c>
      <c r="H30" s="22" t="s">
        <v>30</v>
      </c>
    </row>
    <row r="31" spans="2:8">
      <c r="B31" s="9" t="s">
        <v>31</v>
      </c>
      <c r="D31" s="12" t="s">
        <v>32</v>
      </c>
      <c r="F31" s="14" t="s">
        <v>33</v>
      </c>
      <c r="H31" s="16" t="s">
        <v>34</v>
      </c>
    </row>
    <row r="32" spans="2:8">
      <c r="B32" s="9" t="s">
        <v>35</v>
      </c>
      <c r="D32" s="12" t="s">
        <v>36</v>
      </c>
      <c r="F32" s="14" t="s">
        <v>37</v>
      </c>
      <c r="H32" s="16" t="s">
        <v>38</v>
      </c>
    </row>
    <row r="33" spans="2:8">
      <c r="B33" s="9" t="s">
        <v>39</v>
      </c>
      <c r="D33" s="12" t="s">
        <v>40</v>
      </c>
      <c r="F33" s="14" t="s">
        <v>41</v>
      </c>
      <c r="H33" s="16" t="s">
        <v>42</v>
      </c>
    </row>
    <row r="34" spans="2:8">
      <c r="B34" s="9" t="s">
        <v>43</v>
      </c>
      <c r="D34" s="12" t="s">
        <v>44</v>
      </c>
      <c r="F34" s="14" t="s">
        <v>45</v>
      </c>
      <c r="H34" s="16" t="s">
        <v>46</v>
      </c>
    </row>
    <row r="35" spans="2:8" ht="15" thickBot="1">
      <c r="B35" s="9" t="s">
        <v>47</v>
      </c>
      <c r="D35" s="12" t="s">
        <v>48</v>
      </c>
      <c r="F35" s="14" t="s">
        <v>49</v>
      </c>
      <c r="H35" s="17" t="s">
        <v>33</v>
      </c>
    </row>
    <row r="36" spans="2:8" ht="15" thickBot="1">
      <c r="B36" s="10" t="s">
        <v>50</v>
      </c>
      <c r="D36" s="12" t="s">
        <v>51</v>
      </c>
      <c r="F36" s="14" t="s">
        <v>52</v>
      </c>
      <c r="H36" s="3"/>
    </row>
    <row r="37" spans="2:8">
      <c r="B37" s="4"/>
      <c r="D37" s="12" t="s">
        <v>53</v>
      </c>
      <c r="F37" s="14" t="s">
        <v>54</v>
      </c>
      <c r="H37" s="3"/>
    </row>
    <row r="38" spans="2:8">
      <c r="B38" s="4"/>
      <c r="D38" s="12" t="s">
        <v>55</v>
      </c>
      <c r="F38" s="14" t="s">
        <v>56</v>
      </c>
      <c r="H38" s="3"/>
    </row>
    <row r="39" spans="2:8">
      <c r="B39" s="4"/>
      <c r="D39" s="12" t="s">
        <v>57</v>
      </c>
      <c r="F39" s="14" t="s">
        <v>58</v>
      </c>
      <c r="H39" s="3"/>
    </row>
    <row r="40" spans="2:8">
      <c r="B40" s="4"/>
      <c r="D40" s="12" t="s">
        <v>59</v>
      </c>
      <c r="F40" s="14" t="s">
        <v>60</v>
      </c>
      <c r="H40" s="3"/>
    </row>
    <row r="41" spans="2:8">
      <c r="B41" s="4"/>
      <c r="D41" s="12" t="s">
        <v>61</v>
      </c>
      <c r="F41" s="14" t="s">
        <v>62</v>
      </c>
      <c r="H41" s="3"/>
    </row>
    <row r="42" spans="2:8">
      <c r="B42" s="4"/>
      <c r="D42" s="12" t="s">
        <v>63</v>
      </c>
      <c r="F42" s="14" t="s">
        <v>64</v>
      </c>
      <c r="H42" s="3"/>
    </row>
    <row r="43" spans="2:8" ht="15" thickBot="1">
      <c r="B43" s="4"/>
      <c r="D43" s="12" t="s">
        <v>65</v>
      </c>
      <c r="F43" s="15" t="s">
        <v>66</v>
      </c>
      <c r="H43" s="3"/>
    </row>
    <row r="44" spans="2:8">
      <c r="B44" s="4"/>
      <c r="D44" s="12" t="s">
        <v>67</v>
      </c>
      <c r="F44" s="2"/>
      <c r="H44" s="3"/>
    </row>
    <row r="45" spans="2:8">
      <c r="B45" s="4"/>
      <c r="D45" s="12" t="s">
        <v>68</v>
      </c>
      <c r="F45" s="2"/>
      <c r="H45" s="3"/>
    </row>
    <row r="46" spans="2:8">
      <c r="B46" s="4"/>
      <c r="D46" s="12" t="s">
        <v>69</v>
      </c>
      <c r="F46" s="2"/>
      <c r="H46" s="3"/>
    </row>
    <row r="47" spans="2:8">
      <c r="B47" s="4"/>
      <c r="D47" s="12" t="s">
        <v>70</v>
      </c>
      <c r="F47" s="2"/>
      <c r="H47" s="3"/>
    </row>
    <row r="48" spans="2:8">
      <c r="B48" s="4"/>
      <c r="D48" s="12" t="s">
        <v>71</v>
      </c>
      <c r="F48" s="2"/>
      <c r="H48" s="3"/>
    </row>
    <row r="49" spans="2:8">
      <c r="B49" s="4"/>
      <c r="D49" s="12" t="s">
        <v>72</v>
      </c>
      <c r="F49" s="2"/>
      <c r="H49" s="3"/>
    </row>
    <row r="50" spans="2:8" ht="15" thickBot="1">
      <c r="B50" s="5"/>
      <c r="C50" s="7"/>
      <c r="D50" s="13" t="s">
        <v>73</v>
      </c>
      <c r="E50" s="7"/>
      <c r="F50" s="6"/>
      <c r="G50" s="7"/>
      <c r="H50" s="8"/>
    </row>
  </sheetData>
  <mergeCells count="13">
    <mergeCell ref="G19:H21"/>
    <mergeCell ref="G22:H25"/>
    <mergeCell ref="B12:D12"/>
    <mergeCell ref="B13:D13"/>
    <mergeCell ref="B14:D14"/>
    <mergeCell ref="B15:D15"/>
    <mergeCell ref="B19:F19"/>
    <mergeCell ref="B20:F20"/>
    <mergeCell ref="B21:F21"/>
    <mergeCell ref="B22:F22"/>
    <mergeCell ref="B23:F23"/>
    <mergeCell ref="B24:F24"/>
    <mergeCell ref="B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25"/>
  <sheetViews>
    <sheetView showGridLines="0" tabSelected="1" zoomScaleNormal="100" workbookViewId="0">
      <selection activeCell="B4" sqref="B4"/>
    </sheetView>
  </sheetViews>
  <sheetFormatPr defaultColWidth="9.140625" defaultRowHeight="14.45"/>
  <cols>
    <col min="1" max="1" width="7.42578125" customWidth="1"/>
    <col min="2" max="2" width="11.140625" style="1" bestFit="1" customWidth="1"/>
    <col min="3" max="3" width="9" style="26" bestFit="1" customWidth="1"/>
    <col min="4" max="4" width="8.85546875" style="26" bestFit="1" customWidth="1"/>
    <col min="5" max="5" width="7" style="26" customWidth="1"/>
    <col min="6" max="6" width="9.42578125" style="26" bestFit="1" customWidth="1"/>
    <col min="7" max="7" width="7" style="26" customWidth="1"/>
    <col min="8" max="8" width="10.5703125" style="26" bestFit="1" customWidth="1"/>
    <col min="9" max="9" width="7" style="26" customWidth="1"/>
    <col min="10" max="10" width="8.85546875" style="26" bestFit="1" customWidth="1"/>
    <col min="11" max="11" width="7" style="26" customWidth="1"/>
    <col min="12" max="12" width="12.7109375" style="26" bestFit="1" customWidth="1"/>
    <col min="13" max="13" width="7" style="26" customWidth="1"/>
    <col min="14" max="14" width="8.85546875" style="26" bestFit="1" customWidth="1"/>
    <col min="15" max="15" width="7" style="26" customWidth="1"/>
    <col min="16" max="16" width="8.85546875" style="26" bestFit="1" customWidth="1"/>
    <col min="17" max="17" width="6.28515625" style="26" customWidth="1"/>
  </cols>
  <sheetData>
    <row r="1" spans="2:17" ht="15" thickBot="1"/>
    <row r="2" spans="2:17" s="1" customFormat="1" ht="15" thickBot="1">
      <c r="B2" s="67" t="s">
        <v>74</v>
      </c>
      <c r="C2" s="68" t="s">
        <v>75</v>
      </c>
      <c r="D2" s="84" t="s">
        <v>76</v>
      </c>
      <c r="E2" s="69" t="s">
        <v>77</v>
      </c>
      <c r="F2" s="45" t="s">
        <v>78</v>
      </c>
      <c r="G2" s="69" t="s">
        <v>79</v>
      </c>
      <c r="H2" s="45" t="s">
        <v>80</v>
      </c>
      <c r="I2" s="69" t="s">
        <v>81</v>
      </c>
      <c r="J2" s="45" t="s">
        <v>82</v>
      </c>
      <c r="K2" s="69" t="s">
        <v>83</v>
      </c>
      <c r="L2" s="87" t="s">
        <v>84</v>
      </c>
      <c r="M2" s="87" t="s">
        <v>85</v>
      </c>
      <c r="N2" s="87" t="s">
        <v>86</v>
      </c>
      <c r="O2" s="69" t="s">
        <v>87</v>
      </c>
      <c r="P2" s="88" t="s">
        <v>88</v>
      </c>
      <c r="Q2" s="78" t="s">
        <v>89</v>
      </c>
    </row>
    <row r="3" spans="2:17">
      <c r="B3" s="66" t="s">
        <v>90</v>
      </c>
      <c r="C3" s="70">
        <f>SUM(E3+G3+I3+K3+M3+O3+Q3)</f>
        <v>107</v>
      </c>
      <c r="D3" s="82" t="s">
        <v>43</v>
      </c>
      <c r="E3" s="71">
        <f>VLOOKUP(Participantes!D3,Resultados!$B$2:$C$50,2,FALSE)</f>
        <v>5</v>
      </c>
      <c r="F3" s="72" t="s">
        <v>44</v>
      </c>
      <c r="G3" s="71">
        <f>VLOOKUP(Participantes!F3,Resultados!$B$2:$C$50,2,FALSE)</f>
        <v>12</v>
      </c>
      <c r="H3" s="72" t="s">
        <v>48</v>
      </c>
      <c r="I3" s="71">
        <f>VLOOKUP(Participantes!H3,Resultados!$B$2:$C$50,2,FALSE)</f>
        <v>13</v>
      </c>
      <c r="J3" s="72" t="s">
        <v>51</v>
      </c>
      <c r="K3" s="71">
        <f>VLOOKUP(Participantes!J3,Resultados!$B$2:$C$50,2,FALSE)</f>
        <v>14</v>
      </c>
      <c r="L3" s="72" t="s">
        <v>63</v>
      </c>
      <c r="M3" s="71">
        <f>VLOOKUP(Participantes!L3,Resultados!$B$2:$C$50,2,FALSE)</f>
        <v>20</v>
      </c>
      <c r="N3" s="72" t="s">
        <v>65</v>
      </c>
      <c r="O3" s="71">
        <f>VLOOKUP(Participantes!N3,Resultados!$B$2:$C$50,2,FALSE)</f>
        <v>21</v>
      </c>
      <c r="P3" s="83" t="s">
        <v>67</v>
      </c>
      <c r="Q3" s="79">
        <f>VLOOKUP(Participantes!P3,Resultados!$B$2:$C$50,2,FALSE)</f>
        <v>22</v>
      </c>
    </row>
    <row r="4" spans="2:17">
      <c r="B4" s="64"/>
      <c r="C4" s="73"/>
      <c r="D4" s="53"/>
      <c r="E4" s="74"/>
      <c r="F4" s="75"/>
      <c r="G4" s="74"/>
      <c r="H4" s="46"/>
      <c r="I4" s="74"/>
      <c r="J4" s="46"/>
      <c r="K4" s="74"/>
      <c r="L4" s="46"/>
      <c r="M4" s="74"/>
      <c r="N4" s="46"/>
      <c r="O4" s="74"/>
      <c r="P4" s="47"/>
      <c r="Q4" s="80"/>
    </row>
    <row r="5" spans="2:17">
      <c r="B5" s="64"/>
      <c r="C5" s="73"/>
      <c r="D5" s="53"/>
      <c r="E5" s="74"/>
      <c r="F5" s="75"/>
      <c r="G5" s="74"/>
      <c r="H5" s="46"/>
      <c r="I5" s="74"/>
      <c r="J5" s="46"/>
      <c r="K5" s="74"/>
      <c r="L5" s="46"/>
      <c r="M5" s="74"/>
      <c r="N5" s="46"/>
      <c r="O5" s="74"/>
      <c r="P5" s="47"/>
      <c r="Q5" s="80"/>
    </row>
    <row r="6" spans="2:17">
      <c r="B6" s="64"/>
      <c r="C6" s="73"/>
      <c r="D6" s="53"/>
      <c r="E6" s="74"/>
      <c r="F6" s="46"/>
      <c r="G6" s="74"/>
      <c r="H6" s="46"/>
      <c r="I6" s="74"/>
      <c r="J6" s="46"/>
      <c r="K6" s="74"/>
      <c r="L6" s="46"/>
      <c r="M6" s="74"/>
      <c r="N6" s="46"/>
      <c r="O6" s="74"/>
      <c r="P6" s="47"/>
      <c r="Q6" s="80"/>
    </row>
    <row r="7" spans="2:17">
      <c r="B7" s="64"/>
      <c r="C7" s="73"/>
      <c r="D7" s="53"/>
      <c r="E7" s="74"/>
      <c r="F7" s="46"/>
      <c r="G7" s="74"/>
      <c r="H7" s="46"/>
      <c r="I7" s="74"/>
      <c r="J7" s="46"/>
      <c r="K7" s="74"/>
      <c r="L7" s="46"/>
      <c r="M7" s="74"/>
      <c r="N7" s="46"/>
      <c r="O7" s="74"/>
      <c r="P7" s="47"/>
      <c r="Q7" s="80"/>
    </row>
    <row r="8" spans="2:17">
      <c r="B8" s="64"/>
      <c r="C8" s="73"/>
      <c r="D8" s="53"/>
      <c r="E8" s="74"/>
      <c r="F8" s="46"/>
      <c r="G8" s="74"/>
      <c r="H8" s="46"/>
      <c r="I8" s="74"/>
      <c r="J8" s="46"/>
      <c r="K8" s="74"/>
      <c r="L8" s="46"/>
      <c r="M8" s="74"/>
      <c r="N8" s="46"/>
      <c r="O8" s="74"/>
      <c r="P8" s="47"/>
      <c r="Q8" s="80"/>
    </row>
    <row r="9" spans="2:17">
      <c r="B9" s="64"/>
      <c r="C9" s="73"/>
      <c r="D9" s="53"/>
      <c r="E9" s="74"/>
      <c r="F9" s="46"/>
      <c r="G9" s="74"/>
      <c r="H9" s="46"/>
      <c r="I9" s="74"/>
      <c r="J9" s="46"/>
      <c r="K9" s="74"/>
      <c r="L9" s="46"/>
      <c r="M9" s="74"/>
      <c r="N9" s="46"/>
      <c r="O9" s="74"/>
      <c r="P9" s="47"/>
      <c r="Q9" s="80"/>
    </row>
    <row r="10" spans="2:17">
      <c r="B10" s="64"/>
      <c r="C10" s="73"/>
      <c r="D10" s="53"/>
      <c r="E10" s="74"/>
      <c r="F10" s="46"/>
      <c r="G10" s="74"/>
      <c r="H10" s="46"/>
      <c r="I10" s="74"/>
      <c r="J10" s="46"/>
      <c r="K10" s="74"/>
      <c r="L10" s="46"/>
      <c r="M10" s="74"/>
      <c r="N10" s="46"/>
      <c r="O10" s="74"/>
      <c r="P10" s="47"/>
      <c r="Q10" s="80"/>
    </row>
    <row r="11" spans="2:17">
      <c r="B11" s="64"/>
      <c r="C11" s="73"/>
      <c r="D11" s="53"/>
      <c r="E11" s="74"/>
      <c r="F11" s="46"/>
      <c r="G11" s="74"/>
      <c r="H11" s="46"/>
      <c r="I11" s="74"/>
      <c r="J11" s="46"/>
      <c r="K11" s="74"/>
      <c r="L11" s="46"/>
      <c r="M11" s="74"/>
      <c r="N11" s="46"/>
      <c r="O11" s="74"/>
      <c r="P11" s="47"/>
      <c r="Q11" s="80"/>
    </row>
    <row r="12" spans="2:17">
      <c r="B12" s="64"/>
      <c r="C12" s="73"/>
      <c r="D12" s="53"/>
      <c r="E12" s="74"/>
      <c r="F12" s="46"/>
      <c r="G12" s="74"/>
      <c r="H12" s="46"/>
      <c r="I12" s="74"/>
      <c r="J12" s="46"/>
      <c r="K12" s="74"/>
      <c r="L12" s="46"/>
      <c r="M12" s="74"/>
      <c r="N12" s="46"/>
      <c r="O12" s="74"/>
      <c r="P12" s="47"/>
      <c r="Q12" s="80"/>
    </row>
    <row r="13" spans="2:17">
      <c r="B13" s="64"/>
      <c r="C13" s="73"/>
      <c r="D13" s="53"/>
      <c r="E13" s="74"/>
      <c r="F13" s="46"/>
      <c r="G13" s="74"/>
      <c r="H13" s="46"/>
      <c r="I13" s="74"/>
      <c r="J13" s="46"/>
      <c r="K13" s="74"/>
      <c r="L13" s="46"/>
      <c r="M13" s="74"/>
      <c r="N13" s="46"/>
      <c r="O13" s="74"/>
      <c r="P13" s="47"/>
      <c r="Q13" s="80"/>
    </row>
    <row r="14" spans="2:17">
      <c r="B14" s="64"/>
      <c r="C14" s="73"/>
      <c r="D14" s="53"/>
      <c r="E14" s="74"/>
      <c r="F14" s="46"/>
      <c r="G14" s="74"/>
      <c r="H14" s="46"/>
      <c r="I14" s="74"/>
      <c r="J14" s="46"/>
      <c r="K14" s="74"/>
      <c r="L14" s="46"/>
      <c r="M14" s="74"/>
      <c r="N14" s="46"/>
      <c r="O14" s="74"/>
      <c r="P14" s="47"/>
      <c r="Q14" s="80"/>
    </row>
    <row r="15" spans="2:17">
      <c r="B15" s="64"/>
      <c r="C15" s="73"/>
      <c r="D15" s="53"/>
      <c r="E15" s="74"/>
      <c r="F15" s="46"/>
      <c r="G15" s="74"/>
      <c r="H15" s="46"/>
      <c r="I15" s="74"/>
      <c r="J15" s="46"/>
      <c r="K15" s="74"/>
      <c r="L15" s="46"/>
      <c r="M15" s="74"/>
      <c r="N15" s="46"/>
      <c r="O15" s="74"/>
      <c r="P15" s="47"/>
      <c r="Q15" s="80"/>
    </row>
    <row r="16" spans="2:17">
      <c r="B16" s="64"/>
      <c r="C16" s="73"/>
      <c r="D16" s="53"/>
      <c r="E16" s="74"/>
      <c r="F16" s="46"/>
      <c r="G16" s="74"/>
      <c r="H16" s="46"/>
      <c r="I16" s="74"/>
      <c r="J16" s="46"/>
      <c r="K16" s="74"/>
      <c r="L16" s="46"/>
      <c r="M16" s="74"/>
      <c r="N16" s="46"/>
      <c r="O16" s="74"/>
      <c r="P16" s="47"/>
      <c r="Q16" s="80"/>
    </row>
    <row r="17" spans="2:17">
      <c r="B17" s="64"/>
      <c r="C17" s="73"/>
      <c r="D17" s="53"/>
      <c r="E17" s="74"/>
      <c r="F17" s="46"/>
      <c r="G17" s="74"/>
      <c r="H17" s="46"/>
      <c r="I17" s="74"/>
      <c r="J17" s="46"/>
      <c r="K17" s="74"/>
      <c r="L17" s="46"/>
      <c r="M17" s="74"/>
      <c r="N17" s="46"/>
      <c r="O17" s="74"/>
      <c r="P17" s="47"/>
      <c r="Q17" s="80"/>
    </row>
    <row r="18" spans="2:17">
      <c r="B18" s="64"/>
      <c r="C18" s="73"/>
      <c r="D18" s="53"/>
      <c r="E18" s="74"/>
      <c r="F18" s="46"/>
      <c r="G18" s="74"/>
      <c r="H18" s="46"/>
      <c r="I18" s="74"/>
      <c r="J18" s="46"/>
      <c r="K18" s="74"/>
      <c r="L18" s="46"/>
      <c r="M18" s="74"/>
      <c r="N18" s="46"/>
      <c r="O18" s="74"/>
      <c r="P18" s="47"/>
      <c r="Q18" s="80"/>
    </row>
    <row r="19" spans="2:17">
      <c r="B19" s="64"/>
      <c r="C19" s="73"/>
      <c r="D19" s="53"/>
      <c r="E19" s="74"/>
      <c r="F19" s="46"/>
      <c r="G19" s="74"/>
      <c r="H19" s="46"/>
      <c r="I19" s="74"/>
      <c r="J19" s="46"/>
      <c r="K19" s="74"/>
      <c r="L19" s="46"/>
      <c r="M19" s="74"/>
      <c r="N19" s="46"/>
      <c r="O19" s="74"/>
      <c r="P19" s="47"/>
      <c r="Q19" s="80"/>
    </row>
    <row r="20" spans="2:17">
      <c r="B20" s="64"/>
      <c r="C20" s="73"/>
      <c r="D20" s="53"/>
      <c r="E20" s="74"/>
      <c r="F20" s="46"/>
      <c r="G20" s="74"/>
      <c r="H20" s="46"/>
      <c r="I20" s="74"/>
      <c r="J20" s="46"/>
      <c r="K20" s="74"/>
      <c r="L20" s="46"/>
      <c r="M20" s="74"/>
      <c r="N20" s="46"/>
      <c r="O20" s="74"/>
      <c r="P20" s="47"/>
      <c r="Q20" s="80"/>
    </row>
    <row r="21" spans="2:17">
      <c r="B21" s="64"/>
      <c r="C21" s="73"/>
      <c r="D21" s="53"/>
      <c r="E21" s="74"/>
      <c r="F21" s="46"/>
      <c r="G21" s="74"/>
      <c r="H21" s="46"/>
      <c r="I21" s="74"/>
      <c r="J21" s="46"/>
      <c r="K21" s="74"/>
      <c r="L21" s="46"/>
      <c r="M21" s="74"/>
      <c r="N21" s="46"/>
      <c r="O21" s="74"/>
      <c r="P21" s="47"/>
      <c r="Q21" s="80"/>
    </row>
    <row r="22" spans="2:17">
      <c r="B22" s="64"/>
      <c r="C22" s="73"/>
      <c r="D22" s="53"/>
      <c r="E22" s="74"/>
      <c r="F22" s="46"/>
      <c r="G22" s="74"/>
      <c r="H22" s="46"/>
      <c r="I22" s="74"/>
      <c r="J22" s="46"/>
      <c r="K22" s="74"/>
      <c r="L22" s="46"/>
      <c r="M22" s="74"/>
      <c r="N22" s="46"/>
      <c r="O22" s="74"/>
      <c r="P22" s="47"/>
      <c r="Q22" s="80"/>
    </row>
    <row r="23" spans="2:17">
      <c r="B23" s="64"/>
      <c r="C23" s="73"/>
      <c r="D23" s="53"/>
      <c r="E23" s="74"/>
      <c r="F23" s="46"/>
      <c r="G23" s="74"/>
      <c r="H23" s="46"/>
      <c r="I23" s="74"/>
      <c r="J23" s="46"/>
      <c r="K23" s="74"/>
      <c r="L23" s="46"/>
      <c r="M23" s="74"/>
      <c r="N23" s="46"/>
      <c r="O23" s="74"/>
      <c r="P23" s="47"/>
      <c r="Q23" s="80"/>
    </row>
    <row r="24" spans="2:17">
      <c r="B24" s="64"/>
      <c r="C24" s="73"/>
      <c r="D24" s="53"/>
      <c r="E24" s="74"/>
      <c r="F24" s="46"/>
      <c r="G24" s="74"/>
      <c r="H24" s="46"/>
      <c r="I24" s="74"/>
      <c r="J24" s="46"/>
      <c r="K24" s="74"/>
      <c r="L24" s="46"/>
      <c r="M24" s="74"/>
      <c r="N24" s="46"/>
      <c r="O24" s="74"/>
      <c r="P24" s="47"/>
      <c r="Q24" s="80"/>
    </row>
    <row r="25" spans="2:17" ht="15" thickBot="1">
      <c r="B25" s="65"/>
      <c r="C25" s="76"/>
      <c r="D25" s="54"/>
      <c r="E25" s="77"/>
      <c r="F25" s="48"/>
      <c r="G25" s="77"/>
      <c r="H25" s="48"/>
      <c r="I25" s="77"/>
      <c r="J25" s="48"/>
      <c r="K25" s="77"/>
      <c r="L25" s="48"/>
      <c r="M25" s="77"/>
      <c r="N25" s="48"/>
      <c r="O25" s="77"/>
      <c r="P25" s="49"/>
      <c r="Q25" s="8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0"/>
  <sheetViews>
    <sheetView showGridLines="0" workbookViewId="0">
      <selection activeCell="G15" sqref="G15"/>
    </sheetView>
  </sheetViews>
  <sheetFormatPr defaultColWidth="8.7109375" defaultRowHeight="14.45"/>
  <cols>
    <col min="1" max="1" width="5.28515625" customWidth="1"/>
    <col min="2" max="2" width="18.85546875" style="1" customWidth="1"/>
    <col min="3" max="3" width="8.7109375" style="26"/>
    <col min="4" max="6" width="13.5703125" style="26" bestFit="1" customWidth="1"/>
    <col min="7" max="7" width="12.28515625" style="26" bestFit="1" customWidth="1"/>
    <col min="8" max="8" width="7.5703125" style="26" bestFit="1" customWidth="1"/>
    <col min="9" max="9" width="7.42578125" style="26" bestFit="1" customWidth="1"/>
    <col min="10" max="10" width="9" style="26" bestFit="1" customWidth="1"/>
    <col min="11" max="11" width="11.42578125" style="26" customWidth="1"/>
  </cols>
  <sheetData>
    <row r="1" spans="2:11" ht="15" thickBot="1"/>
    <row r="2" spans="2:11" s="1" customFormat="1" ht="15" thickBot="1">
      <c r="B2" s="30" t="s">
        <v>91</v>
      </c>
      <c r="C2" s="44" t="s">
        <v>92</v>
      </c>
      <c r="D2" s="45" t="s">
        <v>93</v>
      </c>
      <c r="E2" s="45" t="s">
        <v>94</v>
      </c>
      <c r="F2" s="45" t="s">
        <v>95</v>
      </c>
      <c r="G2" s="45" t="s">
        <v>96</v>
      </c>
      <c r="H2" s="45" t="s">
        <v>97</v>
      </c>
      <c r="I2" s="45" t="s">
        <v>98</v>
      </c>
      <c r="J2" s="45" t="s">
        <v>99</v>
      </c>
      <c r="K2" s="45" t="s">
        <v>100</v>
      </c>
    </row>
    <row r="3" spans="2:11">
      <c r="B3" s="32" t="s">
        <v>27</v>
      </c>
      <c r="C3" s="50">
        <f>SUM(D3:K3)</f>
        <v>8</v>
      </c>
      <c r="D3" s="51">
        <v>1</v>
      </c>
      <c r="E3" s="51">
        <v>1</v>
      </c>
      <c r="F3" s="51">
        <v>1</v>
      </c>
      <c r="G3" s="51">
        <v>1</v>
      </c>
      <c r="H3" s="51">
        <v>1</v>
      </c>
      <c r="I3" s="51">
        <v>1</v>
      </c>
      <c r="J3" s="51">
        <v>1</v>
      </c>
      <c r="K3" s="52">
        <v>1</v>
      </c>
    </row>
    <row r="4" spans="2:11">
      <c r="B4" s="33" t="s">
        <v>31</v>
      </c>
      <c r="C4" s="53">
        <f>SUM(D4:K4)</f>
        <v>2</v>
      </c>
      <c r="D4" s="46">
        <v>2</v>
      </c>
      <c r="E4" s="46"/>
      <c r="F4" s="46"/>
      <c r="G4" s="46"/>
      <c r="H4" s="46"/>
      <c r="I4" s="46"/>
      <c r="J4" s="46"/>
      <c r="K4" s="47"/>
    </row>
    <row r="5" spans="2:11">
      <c r="B5" s="33" t="s">
        <v>35</v>
      </c>
      <c r="C5" s="53">
        <f>SUM(D5:K5)</f>
        <v>3</v>
      </c>
      <c r="D5" s="46">
        <v>3</v>
      </c>
      <c r="E5" s="46"/>
      <c r="F5" s="46"/>
      <c r="G5" s="46"/>
      <c r="H5" s="46"/>
      <c r="I5" s="46"/>
      <c r="J5" s="46"/>
      <c r="K5" s="47"/>
    </row>
    <row r="6" spans="2:11">
      <c r="B6" s="33" t="s">
        <v>39</v>
      </c>
      <c r="C6" s="53">
        <f>SUM(D6:K6)</f>
        <v>4</v>
      </c>
      <c r="D6" s="46">
        <v>4</v>
      </c>
      <c r="E6" s="46"/>
      <c r="F6" s="46"/>
      <c r="G6" s="46"/>
      <c r="H6" s="46"/>
      <c r="I6" s="46"/>
      <c r="J6" s="46"/>
      <c r="K6" s="47"/>
    </row>
    <row r="7" spans="2:11">
      <c r="B7" s="33" t="s">
        <v>43</v>
      </c>
      <c r="C7" s="53">
        <f>SUM(D7:K7)</f>
        <v>5</v>
      </c>
      <c r="D7" s="46">
        <v>5</v>
      </c>
      <c r="E7" s="46"/>
      <c r="F7" s="46"/>
      <c r="G7" s="46"/>
      <c r="H7" s="46"/>
      <c r="I7" s="46"/>
      <c r="J7" s="46"/>
      <c r="K7" s="47"/>
    </row>
    <row r="8" spans="2:11">
      <c r="B8" s="33" t="s">
        <v>47</v>
      </c>
      <c r="C8" s="53">
        <f>SUM(D8:K8)</f>
        <v>6</v>
      </c>
      <c r="D8" s="46">
        <v>6</v>
      </c>
      <c r="E8" s="46"/>
      <c r="F8" s="46"/>
      <c r="G8" s="46"/>
      <c r="H8" s="46"/>
      <c r="I8" s="46"/>
      <c r="J8" s="46"/>
      <c r="K8" s="47"/>
    </row>
    <row r="9" spans="2:11" ht="15" thickBot="1">
      <c r="B9" s="34" t="s">
        <v>50</v>
      </c>
      <c r="C9" s="53">
        <f>SUM(D9:K9)</f>
        <v>7</v>
      </c>
      <c r="D9" s="46">
        <v>7</v>
      </c>
      <c r="E9" s="46"/>
      <c r="F9" s="46"/>
      <c r="G9" s="46"/>
      <c r="H9" s="46"/>
      <c r="I9" s="46"/>
      <c r="J9" s="46"/>
      <c r="K9" s="47"/>
    </row>
    <row r="10" spans="2:11">
      <c r="B10" s="35" t="s">
        <v>28</v>
      </c>
      <c r="C10" s="53">
        <f>SUM(D10:K10)</f>
        <v>8</v>
      </c>
      <c r="D10" s="46">
        <v>8</v>
      </c>
      <c r="E10" s="46"/>
      <c r="F10" s="46"/>
      <c r="G10" s="46"/>
      <c r="H10" s="46"/>
      <c r="I10" s="46"/>
      <c r="J10" s="46"/>
      <c r="K10" s="47"/>
    </row>
    <row r="11" spans="2:11">
      <c r="B11" s="36" t="s">
        <v>32</v>
      </c>
      <c r="C11" s="53">
        <f>SUM(D11:K11)</f>
        <v>9</v>
      </c>
      <c r="D11" s="46">
        <v>9</v>
      </c>
      <c r="E11" s="46"/>
      <c r="F11" s="46"/>
      <c r="G11" s="46"/>
      <c r="H11" s="46"/>
      <c r="I11" s="46"/>
      <c r="J11" s="46"/>
      <c r="K11" s="47"/>
    </row>
    <row r="12" spans="2:11">
      <c r="B12" s="36" t="s">
        <v>36</v>
      </c>
      <c r="C12" s="53">
        <f>SUM(D12:K12)</f>
        <v>10</v>
      </c>
      <c r="D12" s="46">
        <v>10</v>
      </c>
      <c r="E12" s="46"/>
      <c r="F12" s="46"/>
      <c r="G12" s="46"/>
      <c r="H12" s="46"/>
      <c r="I12" s="46"/>
      <c r="J12" s="46"/>
      <c r="K12" s="47"/>
    </row>
    <row r="13" spans="2:11">
      <c r="B13" s="36" t="s">
        <v>40</v>
      </c>
      <c r="C13" s="53">
        <f>SUM(D13:K13)</f>
        <v>11</v>
      </c>
      <c r="D13" s="46">
        <v>11</v>
      </c>
      <c r="E13" s="46"/>
      <c r="F13" s="46"/>
      <c r="G13" s="46"/>
      <c r="H13" s="46"/>
      <c r="I13" s="46"/>
      <c r="J13" s="46"/>
      <c r="K13" s="47"/>
    </row>
    <row r="14" spans="2:11">
      <c r="B14" s="36" t="s">
        <v>44</v>
      </c>
      <c r="C14" s="53">
        <f>SUM(D14:K14)</f>
        <v>12</v>
      </c>
      <c r="D14" s="46">
        <v>12</v>
      </c>
      <c r="E14" s="46"/>
      <c r="F14" s="46"/>
      <c r="G14" s="46"/>
      <c r="H14" s="46"/>
      <c r="I14" s="46"/>
      <c r="J14" s="46"/>
      <c r="K14" s="47"/>
    </row>
    <row r="15" spans="2:11">
      <c r="B15" s="36" t="s">
        <v>48</v>
      </c>
      <c r="C15" s="53">
        <f>SUM(D15:K15)</f>
        <v>13</v>
      </c>
      <c r="D15" s="46">
        <v>13</v>
      </c>
      <c r="E15" s="46"/>
      <c r="F15" s="46"/>
      <c r="G15" s="46"/>
      <c r="H15" s="46"/>
      <c r="I15" s="46"/>
      <c r="J15" s="46"/>
      <c r="K15" s="47"/>
    </row>
    <row r="16" spans="2:11">
      <c r="B16" s="36" t="s">
        <v>51</v>
      </c>
      <c r="C16" s="53">
        <f>SUM(D16:K16)</f>
        <v>14</v>
      </c>
      <c r="D16" s="46">
        <v>14</v>
      </c>
      <c r="E16" s="46"/>
      <c r="F16" s="46"/>
      <c r="G16" s="46"/>
      <c r="H16" s="46"/>
      <c r="I16" s="46"/>
      <c r="J16" s="46"/>
      <c r="K16" s="47"/>
    </row>
    <row r="17" spans="2:11">
      <c r="B17" s="36" t="s">
        <v>53</v>
      </c>
      <c r="C17" s="53">
        <f>SUM(D17:K17)</f>
        <v>15</v>
      </c>
      <c r="D17" s="46">
        <v>15</v>
      </c>
      <c r="E17" s="46"/>
      <c r="F17" s="46"/>
      <c r="G17" s="46"/>
      <c r="H17" s="46"/>
      <c r="I17" s="46"/>
      <c r="J17" s="46"/>
      <c r="K17" s="47"/>
    </row>
    <row r="18" spans="2:11">
      <c r="B18" s="36" t="s">
        <v>55</v>
      </c>
      <c r="C18" s="53">
        <f>SUM(D18:K18)</f>
        <v>16</v>
      </c>
      <c r="D18" s="46">
        <v>16</v>
      </c>
      <c r="E18" s="46"/>
      <c r="F18" s="46"/>
      <c r="G18" s="46"/>
      <c r="H18" s="46"/>
      <c r="I18" s="46"/>
      <c r="J18" s="46"/>
      <c r="K18" s="47"/>
    </row>
    <row r="19" spans="2:11">
      <c r="B19" s="36" t="s">
        <v>57</v>
      </c>
      <c r="C19" s="53">
        <f>SUM(D19:K19)</f>
        <v>17</v>
      </c>
      <c r="D19" s="46">
        <v>17</v>
      </c>
      <c r="E19" s="46"/>
      <c r="F19" s="46"/>
      <c r="G19" s="46"/>
      <c r="H19" s="46"/>
      <c r="I19" s="46"/>
      <c r="J19" s="46"/>
      <c r="K19" s="47"/>
    </row>
    <row r="20" spans="2:11">
      <c r="B20" s="36" t="s">
        <v>59</v>
      </c>
      <c r="C20" s="53">
        <f>SUM(D20:K20)</f>
        <v>18</v>
      </c>
      <c r="D20" s="46">
        <v>18</v>
      </c>
      <c r="E20" s="46"/>
      <c r="F20" s="46"/>
      <c r="G20" s="46"/>
      <c r="H20" s="46"/>
      <c r="I20" s="46"/>
      <c r="J20" s="46"/>
      <c r="K20" s="47"/>
    </row>
    <row r="21" spans="2:11">
      <c r="B21" s="36" t="s">
        <v>61</v>
      </c>
      <c r="C21" s="53">
        <f>SUM(D21:K21)</f>
        <v>19</v>
      </c>
      <c r="D21" s="46">
        <v>19</v>
      </c>
      <c r="E21" s="46"/>
      <c r="F21" s="46"/>
      <c r="G21" s="46"/>
      <c r="H21" s="46"/>
      <c r="I21" s="46"/>
      <c r="J21" s="46"/>
      <c r="K21" s="47"/>
    </row>
    <row r="22" spans="2:11">
      <c r="B22" s="36" t="s">
        <v>63</v>
      </c>
      <c r="C22" s="53">
        <f>SUM(D22:K22)</f>
        <v>20</v>
      </c>
      <c r="D22" s="46">
        <v>20</v>
      </c>
      <c r="E22" s="46"/>
      <c r="F22" s="46"/>
      <c r="G22" s="46"/>
      <c r="H22" s="46"/>
      <c r="I22" s="46"/>
      <c r="J22" s="46"/>
      <c r="K22" s="47"/>
    </row>
    <row r="23" spans="2:11">
      <c r="B23" s="36" t="s">
        <v>65</v>
      </c>
      <c r="C23" s="53">
        <f>SUM(D23:K23)</f>
        <v>21</v>
      </c>
      <c r="D23" s="46">
        <v>21</v>
      </c>
      <c r="E23" s="46"/>
      <c r="F23" s="46"/>
      <c r="G23" s="46"/>
      <c r="H23" s="46"/>
      <c r="I23" s="46"/>
      <c r="J23" s="46"/>
      <c r="K23" s="47"/>
    </row>
    <row r="24" spans="2:11">
      <c r="B24" s="36" t="s">
        <v>67</v>
      </c>
      <c r="C24" s="53">
        <f>SUM(D24:K24)</f>
        <v>22</v>
      </c>
      <c r="D24" s="46">
        <v>22</v>
      </c>
      <c r="E24" s="46"/>
      <c r="F24" s="46"/>
      <c r="G24" s="46"/>
      <c r="H24" s="46"/>
      <c r="I24" s="46"/>
      <c r="J24" s="46"/>
      <c r="K24" s="47"/>
    </row>
    <row r="25" spans="2:11">
      <c r="B25" s="36" t="s">
        <v>68</v>
      </c>
      <c r="C25" s="53">
        <f>SUM(D25:K25)</f>
        <v>23</v>
      </c>
      <c r="D25" s="46">
        <v>23</v>
      </c>
      <c r="E25" s="46"/>
      <c r="F25" s="46"/>
      <c r="G25" s="46"/>
      <c r="H25" s="46"/>
      <c r="I25" s="46"/>
      <c r="J25" s="46"/>
      <c r="K25" s="47"/>
    </row>
    <row r="26" spans="2:11">
      <c r="B26" s="36" t="s">
        <v>69</v>
      </c>
      <c r="C26" s="53">
        <f>SUM(D26:K26)</f>
        <v>24</v>
      </c>
      <c r="D26" s="46">
        <v>24</v>
      </c>
      <c r="E26" s="46"/>
      <c r="F26" s="46"/>
      <c r="G26" s="46"/>
      <c r="H26" s="46"/>
      <c r="I26" s="46"/>
      <c r="J26" s="46"/>
      <c r="K26" s="47"/>
    </row>
    <row r="27" spans="2:11">
      <c r="B27" s="36" t="s">
        <v>70</v>
      </c>
      <c r="C27" s="53">
        <f>SUM(D27:K27)</f>
        <v>25</v>
      </c>
      <c r="D27" s="46">
        <v>25</v>
      </c>
      <c r="E27" s="46"/>
      <c r="F27" s="46"/>
      <c r="G27" s="46"/>
      <c r="H27" s="46"/>
      <c r="I27" s="46"/>
      <c r="J27" s="46"/>
      <c r="K27" s="47"/>
    </row>
    <row r="28" spans="2:11">
      <c r="B28" s="36" t="s">
        <v>71</v>
      </c>
      <c r="C28" s="53">
        <f>SUM(D28:K28)</f>
        <v>26</v>
      </c>
      <c r="D28" s="46">
        <v>26</v>
      </c>
      <c r="E28" s="46"/>
      <c r="F28" s="46"/>
      <c r="G28" s="46"/>
      <c r="H28" s="46"/>
      <c r="I28" s="46"/>
      <c r="J28" s="46"/>
      <c r="K28" s="47"/>
    </row>
    <row r="29" spans="2:11">
      <c r="B29" s="36" t="s">
        <v>72</v>
      </c>
      <c r="C29" s="53">
        <f>SUM(D29:K29)</f>
        <v>27</v>
      </c>
      <c r="D29" s="46">
        <v>27</v>
      </c>
      <c r="E29" s="46"/>
      <c r="F29" s="46"/>
      <c r="G29" s="46"/>
      <c r="H29" s="46"/>
      <c r="I29" s="46"/>
      <c r="J29" s="46"/>
      <c r="K29" s="47"/>
    </row>
    <row r="30" spans="2:11" ht="15" thickBot="1">
      <c r="B30" s="37" t="s">
        <v>73</v>
      </c>
      <c r="C30" s="53">
        <f>SUM(D30:K30)</f>
        <v>28</v>
      </c>
      <c r="D30" s="46">
        <v>28</v>
      </c>
      <c r="E30" s="46"/>
      <c r="F30" s="46"/>
      <c r="G30" s="46"/>
      <c r="H30" s="46"/>
      <c r="I30" s="46"/>
      <c r="J30" s="46"/>
      <c r="K30" s="47"/>
    </row>
    <row r="31" spans="2:11">
      <c r="B31" s="38" t="s">
        <v>29</v>
      </c>
      <c r="C31" s="53">
        <f>SUM(D31:K31)</f>
        <v>29</v>
      </c>
      <c r="D31" s="46">
        <v>29</v>
      </c>
      <c r="E31" s="46"/>
      <c r="F31" s="46"/>
      <c r="G31" s="46"/>
      <c r="H31" s="46"/>
      <c r="I31" s="46"/>
      <c r="J31" s="46"/>
      <c r="K31" s="47"/>
    </row>
    <row r="32" spans="2:11">
      <c r="B32" s="39" t="s">
        <v>33</v>
      </c>
      <c r="C32" s="53">
        <f>SUM(D32:K32)</f>
        <v>30</v>
      </c>
      <c r="D32" s="46">
        <v>30</v>
      </c>
      <c r="E32" s="46"/>
      <c r="F32" s="46"/>
      <c r="G32" s="46"/>
      <c r="H32" s="46"/>
      <c r="I32" s="46"/>
      <c r="J32" s="46"/>
      <c r="K32" s="47"/>
    </row>
    <row r="33" spans="2:11">
      <c r="B33" s="39" t="s">
        <v>37</v>
      </c>
      <c r="C33" s="53">
        <f>SUM(D33:K33)</f>
        <v>31</v>
      </c>
      <c r="D33" s="46">
        <v>31</v>
      </c>
      <c r="E33" s="46"/>
      <c r="F33" s="46"/>
      <c r="G33" s="46"/>
      <c r="H33" s="46"/>
      <c r="I33" s="46"/>
      <c r="J33" s="46"/>
      <c r="K33" s="47"/>
    </row>
    <row r="34" spans="2:11">
      <c r="B34" s="39" t="s">
        <v>41</v>
      </c>
      <c r="C34" s="53">
        <f>SUM(D34:K34)</f>
        <v>32</v>
      </c>
      <c r="D34" s="46">
        <v>32</v>
      </c>
      <c r="E34" s="46"/>
      <c r="F34" s="46"/>
      <c r="G34" s="46"/>
      <c r="H34" s="46"/>
      <c r="I34" s="46"/>
      <c r="J34" s="46"/>
      <c r="K34" s="47"/>
    </row>
    <row r="35" spans="2:11">
      <c r="B35" s="39" t="s">
        <v>45</v>
      </c>
      <c r="C35" s="53">
        <f>SUM(D35:K35)</f>
        <v>33</v>
      </c>
      <c r="D35" s="46">
        <v>33</v>
      </c>
      <c r="E35" s="46"/>
      <c r="F35" s="46"/>
      <c r="G35" s="46"/>
      <c r="H35" s="46"/>
      <c r="I35" s="46"/>
      <c r="J35" s="46"/>
      <c r="K35" s="47"/>
    </row>
    <row r="36" spans="2:11">
      <c r="B36" s="39" t="s">
        <v>49</v>
      </c>
      <c r="C36" s="53">
        <f>SUM(D36:K36)</f>
        <v>34</v>
      </c>
      <c r="D36" s="46">
        <v>34</v>
      </c>
      <c r="E36" s="46"/>
      <c r="F36" s="46"/>
      <c r="G36" s="46"/>
      <c r="H36" s="46"/>
      <c r="I36" s="46"/>
      <c r="J36" s="46"/>
      <c r="K36" s="47"/>
    </row>
    <row r="37" spans="2:11">
      <c r="B37" s="39" t="s">
        <v>52</v>
      </c>
      <c r="C37" s="53">
        <f>SUM(D37:K37)</f>
        <v>35</v>
      </c>
      <c r="D37" s="46">
        <v>35</v>
      </c>
      <c r="E37" s="46"/>
      <c r="F37" s="46"/>
      <c r="G37" s="46"/>
      <c r="H37" s="46"/>
      <c r="I37" s="46"/>
      <c r="J37" s="46"/>
      <c r="K37" s="47"/>
    </row>
    <row r="38" spans="2:11">
      <c r="B38" s="39" t="s">
        <v>54</v>
      </c>
      <c r="C38" s="53">
        <f>SUM(D38:K38)</f>
        <v>36</v>
      </c>
      <c r="D38" s="46">
        <v>36</v>
      </c>
      <c r="E38" s="46"/>
      <c r="F38" s="46"/>
      <c r="G38" s="46"/>
      <c r="H38" s="46"/>
      <c r="I38" s="46"/>
      <c r="J38" s="46"/>
      <c r="K38" s="47"/>
    </row>
    <row r="39" spans="2:11">
      <c r="B39" s="39" t="s">
        <v>56</v>
      </c>
      <c r="C39" s="53">
        <f>SUM(D39:K39)</f>
        <v>37</v>
      </c>
      <c r="D39" s="46">
        <v>37</v>
      </c>
      <c r="E39" s="46"/>
      <c r="F39" s="46"/>
      <c r="G39" s="46"/>
      <c r="H39" s="46"/>
      <c r="I39" s="46"/>
      <c r="J39" s="46"/>
      <c r="K39" s="47"/>
    </row>
    <row r="40" spans="2:11">
      <c r="B40" s="39" t="s">
        <v>58</v>
      </c>
      <c r="C40" s="53">
        <f>SUM(D40:K40)</f>
        <v>38</v>
      </c>
      <c r="D40" s="46">
        <v>38</v>
      </c>
      <c r="E40" s="46"/>
      <c r="F40" s="46"/>
      <c r="G40" s="46"/>
      <c r="H40" s="46"/>
      <c r="I40" s="46"/>
      <c r="J40" s="46"/>
      <c r="K40" s="47"/>
    </row>
    <row r="41" spans="2:11">
      <c r="B41" s="39" t="s">
        <v>60</v>
      </c>
      <c r="C41" s="53">
        <f>SUM(D41:K41)</f>
        <v>39</v>
      </c>
      <c r="D41" s="46">
        <v>39</v>
      </c>
      <c r="E41" s="46"/>
      <c r="F41" s="46"/>
      <c r="G41" s="46"/>
      <c r="H41" s="46"/>
      <c r="I41" s="46"/>
      <c r="J41" s="46"/>
      <c r="K41" s="47"/>
    </row>
    <row r="42" spans="2:11">
      <c r="B42" s="39" t="s">
        <v>62</v>
      </c>
      <c r="C42" s="53">
        <f>SUM(D42:K42)</f>
        <v>40</v>
      </c>
      <c r="D42" s="46">
        <v>40</v>
      </c>
      <c r="E42" s="46"/>
      <c r="F42" s="46"/>
      <c r="G42" s="46"/>
      <c r="H42" s="46"/>
      <c r="I42" s="46"/>
      <c r="J42" s="46"/>
      <c r="K42" s="47"/>
    </row>
    <row r="43" spans="2:11">
      <c r="B43" s="39" t="s">
        <v>64</v>
      </c>
      <c r="C43" s="53">
        <f>SUM(D43:K43)</f>
        <v>41</v>
      </c>
      <c r="D43" s="46">
        <v>41</v>
      </c>
      <c r="E43" s="46"/>
      <c r="F43" s="46"/>
      <c r="G43" s="46"/>
      <c r="H43" s="46"/>
      <c r="I43" s="46"/>
      <c r="J43" s="46"/>
      <c r="K43" s="47"/>
    </row>
    <row r="44" spans="2:11" ht="15" thickBot="1">
      <c r="B44" s="40" t="s">
        <v>66</v>
      </c>
      <c r="C44" s="53">
        <f>SUM(D44:K44)</f>
        <v>42</v>
      </c>
      <c r="D44" s="46">
        <v>42</v>
      </c>
      <c r="E44" s="46"/>
      <c r="F44" s="46"/>
      <c r="G44" s="46"/>
      <c r="H44" s="46"/>
      <c r="I44" s="46"/>
      <c r="J44" s="46"/>
      <c r="K44" s="47"/>
    </row>
    <row r="45" spans="2:11">
      <c r="B45" s="41" t="s">
        <v>30</v>
      </c>
      <c r="C45" s="53">
        <f>SUM(D45:K45)</f>
        <v>43</v>
      </c>
      <c r="D45" s="46">
        <v>43</v>
      </c>
      <c r="E45" s="46"/>
      <c r="F45" s="46"/>
      <c r="G45" s="46"/>
      <c r="H45" s="46"/>
      <c r="I45" s="46"/>
      <c r="J45" s="46"/>
      <c r="K45" s="47"/>
    </row>
    <row r="46" spans="2:11">
      <c r="B46" s="42" t="s">
        <v>34</v>
      </c>
      <c r="C46" s="53">
        <f>SUM(D46:K46)</f>
        <v>44</v>
      </c>
      <c r="D46" s="46">
        <v>44</v>
      </c>
      <c r="E46" s="46"/>
      <c r="F46" s="46"/>
      <c r="G46" s="46"/>
      <c r="H46" s="46"/>
      <c r="I46" s="46"/>
      <c r="J46" s="46"/>
      <c r="K46" s="47"/>
    </row>
    <row r="47" spans="2:11">
      <c r="B47" s="42" t="s">
        <v>38</v>
      </c>
      <c r="C47" s="53">
        <f>SUM(D47:K47)</f>
        <v>45</v>
      </c>
      <c r="D47" s="46">
        <v>45</v>
      </c>
      <c r="E47" s="46"/>
      <c r="F47" s="46"/>
      <c r="G47" s="46"/>
      <c r="H47" s="46"/>
      <c r="I47" s="46"/>
      <c r="J47" s="46"/>
      <c r="K47" s="47"/>
    </row>
    <row r="48" spans="2:11">
      <c r="B48" s="42" t="s">
        <v>42</v>
      </c>
      <c r="C48" s="53">
        <f>SUM(D48:K48)</f>
        <v>46</v>
      </c>
      <c r="D48" s="46">
        <v>46</v>
      </c>
      <c r="E48" s="46"/>
      <c r="F48" s="46"/>
      <c r="G48" s="46"/>
      <c r="H48" s="46"/>
      <c r="I48" s="46"/>
      <c r="J48" s="46"/>
      <c r="K48" s="47"/>
    </row>
    <row r="49" spans="2:11">
      <c r="B49" s="42" t="s">
        <v>46</v>
      </c>
      <c r="C49" s="53">
        <f>SUM(D49:K49)</f>
        <v>47</v>
      </c>
      <c r="D49" s="46">
        <v>47</v>
      </c>
      <c r="E49" s="46"/>
      <c r="F49" s="46"/>
      <c r="G49" s="46"/>
      <c r="H49" s="46"/>
      <c r="I49" s="46"/>
      <c r="J49" s="46"/>
      <c r="K49" s="47"/>
    </row>
    <row r="50" spans="2:11" ht="15" thickBot="1">
      <c r="B50" s="43" t="s">
        <v>33</v>
      </c>
      <c r="C50" s="54">
        <f>SUM(D50:K50)</f>
        <v>48</v>
      </c>
      <c r="D50" s="48">
        <v>48</v>
      </c>
      <c r="E50" s="48"/>
      <c r="F50" s="48"/>
      <c r="G50" s="48"/>
      <c r="H50" s="48"/>
      <c r="I50" s="48"/>
      <c r="J50" s="48"/>
      <c r="K50" s="49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31"/>
  <sheetViews>
    <sheetView showGridLines="0" workbookViewId="0">
      <selection activeCell="E27" sqref="E27"/>
    </sheetView>
  </sheetViews>
  <sheetFormatPr defaultColWidth="8.7109375" defaultRowHeight="14.45"/>
  <cols>
    <col min="1" max="1" width="4.85546875" customWidth="1"/>
    <col min="2" max="2" width="11.140625" bestFit="1" customWidth="1"/>
    <col min="3" max="3" width="6.85546875" bestFit="1" customWidth="1"/>
  </cols>
  <sheetData>
    <row r="1" spans="2:3" ht="15" thickBot="1"/>
    <row r="2" spans="2:3" ht="15" thickBot="1">
      <c r="B2" s="86" t="s">
        <v>74</v>
      </c>
      <c r="C2" s="31" t="s">
        <v>101</v>
      </c>
    </row>
    <row r="3" spans="2:3">
      <c r="B3" s="85" t="str">
        <f>Participantes!B3</f>
        <v>Gorka</v>
      </c>
      <c r="C3" s="29">
        <f>Participantes!C3</f>
        <v>107</v>
      </c>
    </row>
    <row r="4" spans="2:3">
      <c r="B4" s="85">
        <f>Participantes!B4</f>
        <v>0</v>
      </c>
      <c r="C4" s="29">
        <f>Participantes!C4</f>
        <v>0</v>
      </c>
    </row>
    <row r="5" spans="2:3">
      <c r="B5" s="85">
        <f>Participantes!B5</f>
        <v>0</v>
      </c>
      <c r="C5" s="29">
        <f>Participantes!C5</f>
        <v>0</v>
      </c>
    </row>
    <row r="6" spans="2:3">
      <c r="B6" s="85">
        <f>Participantes!B6</f>
        <v>0</v>
      </c>
      <c r="C6" s="29">
        <f>Participantes!C6</f>
        <v>0</v>
      </c>
    </row>
    <row r="7" spans="2:3">
      <c r="B7" s="85">
        <f>Participantes!B7</f>
        <v>0</v>
      </c>
      <c r="C7" s="29">
        <f>Participantes!C7</f>
        <v>0</v>
      </c>
    </row>
    <row r="8" spans="2:3">
      <c r="B8" s="85">
        <f>Participantes!B8</f>
        <v>0</v>
      </c>
      <c r="C8" s="29">
        <f>Participantes!C8</f>
        <v>0</v>
      </c>
    </row>
    <row r="9" spans="2:3">
      <c r="B9" s="85">
        <f>Participantes!B9</f>
        <v>0</v>
      </c>
      <c r="C9" s="29">
        <f>Participantes!C9</f>
        <v>0</v>
      </c>
    </row>
    <row r="10" spans="2:3">
      <c r="B10" s="85">
        <f>Participantes!B10</f>
        <v>0</v>
      </c>
      <c r="C10" s="29">
        <f>Participantes!C10</f>
        <v>0</v>
      </c>
    </row>
    <row r="11" spans="2:3">
      <c r="B11" s="85">
        <f>Participantes!B11</f>
        <v>0</v>
      </c>
      <c r="C11" s="29">
        <f>Participantes!C11</f>
        <v>0</v>
      </c>
    </row>
    <row r="12" spans="2:3">
      <c r="B12" s="85">
        <f>Participantes!B12</f>
        <v>0</v>
      </c>
      <c r="C12" s="29">
        <f>Participantes!C12</f>
        <v>0</v>
      </c>
    </row>
    <row r="13" spans="2:3">
      <c r="B13" s="85">
        <f>Participantes!B13</f>
        <v>0</v>
      </c>
      <c r="C13" s="29">
        <f>Participantes!C13</f>
        <v>0</v>
      </c>
    </row>
    <row r="14" spans="2:3">
      <c r="B14" s="85">
        <f>Participantes!B14</f>
        <v>0</v>
      </c>
      <c r="C14" s="29">
        <f>Participantes!C14</f>
        <v>0</v>
      </c>
    </row>
    <row r="15" spans="2:3">
      <c r="B15" s="85">
        <f>Participantes!B15</f>
        <v>0</v>
      </c>
      <c r="C15" s="29">
        <f>Participantes!C15</f>
        <v>0</v>
      </c>
    </row>
    <row r="16" spans="2:3">
      <c r="B16" s="85">
        <f>Participantes!B16</f>
        <v>0</v>
      </c>
      <c r="C16" s="29">
        <f>Participantes!C16</f>
        <v>0</v>
      </c>
    </row>
    <row r="17" spans="2:3">
      <c r="B17" s="85">
        <f>Participantes!B17</f>
        <v>0</v>
      </c>
      <c r="C17" s="29">
        <f>Participantes!C17</f>
        <v>0</v>
      </c>
    </row>
    <row r="18" spans="2:3">
      <c r="B18" s="85">
        <f>Participantes!B18</f>
        <v>0</v>
      </c>
      <c r="C18" s="29">
        <f>Participantes!C18</f>
        <v>0</v>
      </c>
    </row>
    <row r="19" spans="2:3">
      <c r="B19" s="85">
        <f>Participantes!B19</f>
        <v>0</v>
      </c>
      <c r="C19" s="29">
        <f>Participantes!C19</f>
        <v>0</v>
      </c>
    </row>
    <row r="20" spans="2:3">
      <c r="B20" s="85">
        <f>Participantes!B20</f>
        <v>0</v>
      </c>
      <c r="C20" s="29">
        <f>Participantes!C20</f>
        <v>0</v>
      </c>
    </row>
    <row r="21" spans="2:3">
      <c r="B21" s="85">
        <f>Participantes!B21</f>
        <v>0</v>
      </c>
      <c r="C21" s="29">
        <f>Participantes!C21</f>
        <v>0</v>
      </c>
    </row>
    <row r="22" spans="2:3">
      <c r="B22" s="85">
        <f>Participantes!B22</f>
        <v>0</v>
      </c>
      <c r="C22" s="29">
        <f>Participantes!C22</f>
        <v>0</v>
      </c>
    </row>
    <row r="23" spans="2:3">
      <c r="B23" s="85">
        <f>Participantes!B23</f>
        <v>0</v>
      </c>
      <c r="C23" s="29">
        <f>Participantes!C23</f>
        <v>0</v>
      </c>
    </row>
    <row r="24" spans="2:3">
      <c r="B24" s="85">
        <f>Participantes!B24</f>
        <v>0</v>
      </c>
      <c r="C24" s="29">
        <f>Participantes!C24</f>
        <v>0</v>
      </c>
    </row>
    <row r="25" spans="2:3">
      <c r="B25" s="85">
        <f>Participantes!B25</f>
        <v>0</v>
      </c>
      <c r="C25" s="29">
        <f>Participantes!C25</f>
        <v>0</v>
      </c>
    </row>
    <row r="26" spans="2:3">
      <c r="B26" s="85">
        <f>Participantes!B26</f>
        <v>0</v>
      </c>
      <c r="C26" s="29">
        <f>Participantes!C26</f>
        <v>0</v>
      </c>
    </row>
    <row r="27" spans="2:3">
      <c r="B27" s="85">
        <f>Participantes!B27</f>
        <v>0</v>
      </c>
      <c r="C27" s="29">
        <f>Participantes!C27</f>
        <v>0</v>
      </c>
    </row>
    <row r="28" spans="2:3">
      <c r="B28" s="85">
        <f>Participantes!B28</f>
        <v>0</v>
      </c>
      <c r="C28" s="29">
        <f>Participantes!C28</f>
        <v>0</v>
      </c>
    </row>
    <row r="29" spans="2:3">
      <c r="B29" s="85">
        <f>Participantes!B29</f>
        <v>0</v>
      </c>
      <c r="C29" s="29">
        <f>Participantes!C29</f>
        <v>0</v>
      </c>
    </row>
    <row r="30" spans="2:3">
      <c r="B30" s="85">
        <f>Participantes!B30</f>
        <v>0</v>
      </c>
      <c r="C30" s="29">
        <f>Participantes!C30</f>
        <v>0</v>
      </c>
    </row>
    <row r="31" spans="2:3">
      <c r="B31" s="85">
        <f>Participantes!B31</f>
        <v>0</v>
      </c>
      <c r="C31" s="29">
        <f>Participantes!C31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Aitor Alegria de la Herran</cp:lastModifiedBy>
  <cp:revision/>
  <dcterms:created xsi:type="dcterms:W3CDTF">2026-04-28T11:55:43Z</dcterms:created>
  <dcterms:modified xsi:type="dcterms:W3CDTF">2026-04-28T14:37:02Z</dcterms:modified>
  <cp:category/>
  <cp:contentStatus/>
</cp:coreProperties>
</file>